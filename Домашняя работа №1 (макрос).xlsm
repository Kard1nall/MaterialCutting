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ЭтаКнига"/>
  <xr:revisionPtr revIDLastSave="0" documentId="10_ncr:100000_{D23A6C14-1418-4B68-9208-EC6723BD74EF}" xr6:coauthVersionLast="31" xr6:coauthVersionMax="31" xr10:uidLastSave="{00000000-0000-0000-0000-000000000000}"/>
  <bookViews>
    <workbookView xWindow="0" yWindow="0" windowWidth="22260" windowHeight="12648" xr2:uid="{00000000-000D-0000-FFFF-FFFF00000000}"/>
  </bookViews>
  <sheets>
    <sheet name="Решение" sheetId="1" r:id="rId1"/>
  </sheets>
  <definedNames>
    <definedName name="solver_adj" localSheetId="0" hidden="1">Решение!$C$9:$F$9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Решение!$H$5</definedName>
    <definedName name="solver_lhs2" localSheetId="0" hidden="1">Решение!$H$6</definedName>
    <definedName name="solver_lhs3" localSheetId="0" hidden="1">Решение!$H$7</definedName>
    <definedName name="solver_lhs4" localSheetId="0" hidden="1">Решение!$H$7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Решение!$H$10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hs1" localSheetId="0" hidden="1">Решение!$I$5</definedName>
    <definedName name="solver_rhs2" localSheetId="0" hidden="1">Решение!$I$6</definedName>
    <definedName name="solver_rhs3" localSheetId="0" hidden="1">Решение!$I$7</definedName>
    <definedName name="solver_rhs4" localSheetId="0" hidden="1">Решение!$I$7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" l="1"/>
  <c r="B22" i="1"/>
  <c r="B21" i="1"/>
  <c r="B20" i="1"/>
  <c r="B19" i="1"/>
  <c r="B18" i="1"/>
  <c r="H7" i="1"/>
  <c r="H5" i="1"/>
  <c r="B17" i="1"/>
  <c r="H6" i="1" l="1"/>
  <c r="E10" i="1"/>
  <c r="C10" i="1"/>
  <c r="H9" i="1" l="1"/>
  <c r="I5" i="1" l="1"/>
  <c r="I7" i="1" l="1"/>
  <c r="I6" i="1"/>
  <c r="D10" i="1"/>
  <c r="F10" i="1"/>
  <c r="H10" i="1" l="1"/>
</calcChain>
</file>

<file path=xl/sharedStrings.xml><?xml version="1.0" encoding="utf-8"?>
<sst xmlns="http://schemas.openxmlformats.org/spreadsheetml/2006/main" count="29" uniqueCount="21">
  <si>
    <r>
      <t>Площадь поверхности заготовки, м</t>
    </r>
    <r>
      <rPr>
        <vertAlign val="superscript"/>
        <sz val="11"/>
        <color theme="1"/>
        <rFont val="Times New Roman"/>
        <family val="1"/>
        <charset val="204"/>
      </rPr>
      <t>2</t>
    </r>
  </si>
  <si>
    <t>Количество заготовок на 1 изделие по соответствующему способу раскроя, шт.</t>
  </si>
  <si>
    <t>Количество заготовок на 1 изделие, шт.</t>
  </si>
  <si>
    <r>
      <t>А</t>
    </r>
    <r>
      <rPr>
        <vertAlign val="subscript"/>
        <sz val="11"/>
        <color theme="1"/>
        <rFont val="Times New Roman"/>
        <family val="1"/>
        <charset val="204"/>
      </rPr>
      <t>1</t>
    </r>
  </si>
  <si>
    <r>
      <t>А</t>
    </r>
    <r>
      <rPr>
        <vertAlign val="subscript"/>
        <sz val="11"/>
        <color theme="1"/>
        <rFont val="Times New Roman"/>
        <family val="1"/>
        <charset val="204"/>
      </rPr>
      <t>2</t>
    </r>
  </si>
  <si>
    <r>
      <t>А</t>
    </r>
    <r>
      <rPr>
        <vertAlign val="subscript"/>
        <sz val="11"/>
        <color theme="1"/>
        <rFont val="Times New Roman"/>
        <family val="1"/>
        <charset val="204"/>
      </rPr>
      <t>3</t>
    </r>
  </si>
  <si>
    <t>Отходы</t>
  </si>
  <si>
    <t>Вид заготовки</t>
  </si>
  <si>
    <t>Всего необходимо изготовить R шт. изделий</t>
  </si>
  <si>
    <t>Общее количество заготовок A для изготовления R изделий, шт.</t>
  </si>
  <si>
    <r>
      <t>Количество материала в одном рулоне, F</t>
    </r>
    <r>
      <rPr>
        <b/>
        <i/>
        <vertAlign val="subscript"/>
        <sz val="12"/>
        <color theme="1"/>
        <rFont val="Symbol"/>
        <family val="1"/>
        <charset val="2"/>
      </rPr>
      <t>S</t>
    </r>
    <r>
      <rPr>
        <b/>
        <i/>
        <sz val="12"/>
        <color theme="1"/>
        <rFont val="Times New Roman"/>
        <family val="1"/>
        <charset val="204"/>
      </rPr>
      <t xml:space="preserve"> = </t>
    </r>
  </si>
  <si>
    <t>X (рулоны)</t>
  </si>
  <si>
    <t>Целевая функция:</t>
  </si>
  <si>
    <t>Общее кол-во рулонов:</t>
  </si>
  <si>
    <t>Сохранение оптимизационной модели</t>
  </si>
  <si>
    <t>Целевая функция</t>
  </si>
  <si>
    <t>Переменные</t>
  </si>
  <si>
    <t>Диапазон переменных</t>
  </si>
  <si>
    <t>Значения</t>
  </si>
  <si>
    <t>Ограничения</t>
  </si>
  <si>
    <t>Количество итераций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</si>
</sst>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vertAlign val="superscript"/>
      <sz val="11"/>
      <color theme="1"/>
      <name val="Times New Roman"/>
      <family val="1"/>
      <charset val="204"/>
    </font>
    <font>
      <vertAlign val="subscript"/>
      <sz val="11"/>
      <color theme="1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2"/>
      <color theme="1"/>
      <name val="Times New Roman"/>
      <family val="1"/>
      <charset val="204"/>
    </font>
    <font>
      <b/>
      <i/>
      <vertAlign val="subscript"/>
      <sz val="12"/>
      <color theme="1"/>
      <name val="Symbol"/>
      <family val="1"/>
      <charset val="2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7" tint="0.79998168889431442"/>
        <bgColor indexed="65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2" borderId="7" applyNumberFormat="0" applyAlignment="0" applyProtection="0"/>
    <xf numFmtId="0" fontId="1" fillId="3" borderId="0" applyNumberFormat="0" applyBorder="0" applyAlignment="0" applyProtection="0"/>
  </cellStyleXfs>
  <cellXfs count="34">
    <xf numFmtId="0" fontId="0" fillId="0" borderId="0" xfId="0"/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0" fillId="0" borderId="0" xfId="0" applyFill="1"/>
    <xf numFmtId="0" fontId="2" fillId="0" borderId="8" xfId="0" applyFont="1" applyFill="1" applyBorder="1" applyAlignment="1">
      <alignment horizontal="center" vertical="center" wrapText="1"/>
    </xf>
    <xf numFmtId="1" fontId="1" fillId="3" borderId="8" xfId="2" applyNumberFormat="1" applyBorder="1" applyAlignment="1">
      <alignment horizontal="center" vertical="center" wrapText="1"/>
    </xf>
    <xf numFmtId="0" fontId="1" fillId="3" borderId="8" xfId="2" applyBorder="1" applyAlignment="1">
      <alignment horizontal="center" vertical="center" wrapText="1"/>
    </xf>
    <xf numFmtId="0" fontId="1" fillId="3" borderId="8" xfId="2" applyBorder="1" applyAlignment="1">
      <alignment horizontal="center"/>
    </xf>
    <xf numFmtId="0" fontId="0" fillId="0" borderId="0" xfId="0" applyAlignment="1"/>
    <xf numFmtId="0" fontId="2" fillId="0" borderId="10" xfId="0" applyFont="1" applyBorder="1" applyAlignment="1">
      <alignment horizontal="center" vertical="center" wrapText="1"/>
    </xf>
    <xf numFmtId="0" fontId="5" fillId="2" borderId="8" xfId="1" applyBorder="1" applyAlignment="1">
      <alignment horizontal="center" vertical="center" wrapText="1"/>
    </xf>
    <xf numFmtId="0" fontId="5" fillId="2" borderId="12" xfId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5" fillId="2" borderId="14" xfId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1" fillId="3" borderId="15" xfId="2" applyBorder="1" applyAlignment="1">
      <alignment horizontal="center"/>
    </xf>
    <xf numFmtId="0" fontId="1" fillId="3" borderId="11" xfId="2" applyBorder="1" applyAlignment="1">
      <alignment horizontal="center"/>
    </xf>
    <xf numFmtId="0" fontId="1" fillId="3" borderId="13" xfId="2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1" fontId="1" fillId="3" borderId="8" xfId="2" applyNumberFormat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1" fontId="0" fillId="0" borderId="0" xfId="0" applyNumberFormat="1"/>
    <xf numFmtId="1" fontId="1" fillId="3" borderId="8" xfId="2" applyNumberForma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</cellXfs>
  <cellStyles count="3">
    <cellStyle name="20% — акцент4" xfId="2" builtinId="42"/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11</xdr:row>
          <xdr:rowOff>15240</xdr:rowOff>
        </xdr:from>
        <xdr:to>
          <xdr:col>8</xdr:col>
          <xdr:colOff>0</xdr:colOff>
          <xdr:row>13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 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122"/>
  <sheetViews>
    <sheetView tabSelected="1" zoomScale="90" zoomScaleNormal="90" workbookViewId="0">
      <selection activeCell="A22" sqref="A22"/>
    </sheetView>
  </sheetViews>
  <sheetFormatPr defaultRowHeight="14.4" x14ac:dyDescent="0.3"/>
  <cols>
    <col min="1" max="1" width="25.33203125" customWidth="1"/>
    <col min="2" max="2" width="17.21875" customWidth="1"/>
    <col min="3" max="3" width="12.5546875" bestFit="1" customWidth="1"/>
    <col min="4" max="4" width="13.6640625" bestFit="1" customWidth="1"/>
    <col min="5" max="5" width="11.5546875" bestFit="1" customWidth="1"/>
    <col min="6" max="6" width="16.109375" customWidth="1"/>
    <col min="7" max="7" width="22.88671875" customWidth="1"/>
    <col min="8" max="8" width="19.5546875" customWidth="1"/>
    <col min="9" max="9" width="16.88671875" customWidth="1"/>
  </cols>
  <sheetData>
    <row r="1" spans="1:14" x14ac:dyDescent="0.3">
      <c r="A1" s="22"/>
    </row>
    <row r="2" spans="1:14" ht="15" thickBot="1" x14ac:dyDescent="0.35"/>
    <row r="3" spans="1:14" ht="54.6" customHeight="1" thickBot="1" x14ac:dyDescent="0.35">
      <c r="A3" s="24" t="s">
        <v>7</v>
      </c>
      <c r="B3" s="24" t="s">
        <v>0</v>
      </c>
      <c r="C3" s="31" t="s">
        <v>1</v>
      </c>
      <c r="D3" s="32"/>
      <c r="E3" s="32"/>
      <c r="F3" s="33"/>
      <c r="G3" s="24" t="s">
        <v>2</v>
      </c>
      <c r="H3" s="27" t="s">
        <v>9</v>
      </c>
      <c r="I3" s="29" t="s">
        <v>9</v>
      </c>
      <c r="J3" s="9"/>
      <c r="K3" s="9"/>
      <c r="L3" s="9"/>
      <c r="M3" s="9"/>
      <c r="N3" s="9"/>
    </row>
    <row r="4" spans="1:14" ht="15" thickBot="1" x14ac:dyDescent="0.35">
      <c r="A4" s="25"/>
      <c r="B4" s="25"/>
      <c r="C4" s="1">
        <v>1</v>
      </c>
      <c r="D4" s="1">
        <v>2</v>
      </c>
      <c r="E4" s="1">
        <v>3</v>
      </c>
      <c r="F4" s="1">
        <v>4</v>
      </c>
      <c r="G4" s="25"/>
      <c r="H4" s="28"/>
      <c r="I4" s="30"/>
    </row>
    <row r="5" spans="1:14" ht="16.8" thickBot="1" x14ac:dyDescent="0.35">
      <c r="A5" s="10" t="s">
        <v>3</v>
      </c>
      <c r="B5" s="14">
        <v>3.4</v>
      </c>
      <c r="C5" s="14">
        <v>1</v>
      </c>
      <c r="D5" s="14">
        <v>1</v>
      </c>
      <c r="E5" s="14">
        <v>0</v>
      </c>
      <c r="F5" s="14">
        <v>0</v>
      </c>
      <c r="G5" s="14">
        <v>6</v>
      </c>
      <c r="H5" s="15">
        <f>C5*C$9+D5*D$9+E5*E$9+F5*F$9</f>
        <v>300</v>
      </c>
      <c r="I5" s="16">
        <f>G$13*G5</f>
        <v>300</v>
      </c>
    </row>
    <row r="6" spans="1:14" ht="16.8" thickBot="1" x14ac:dyDescent="0.35">
      <c r="A6" s="10" t="s">
        <v>4</v>
      </c>
      <c r="B6" s="11">
        <v>5.4</v>
      </c>
      <c r="C6" s="11">
        <v>2</v>
      </c>
      <c r="D6" s="11">
        <v>0</v>
      </c>
      <c r="E6" s="11">
        <v>1</v>
      </c>
      <c r="F6" s="11">
        <v>0</v>
      </c>
      <c r="G6" s="11">
        <v>2</v>
      </c>
      <c r="H6" s="5">
        <f>C6*C$9+D6*D$9+E6*E$9+F6*F$9</f>
        <v>100</v>
      </c>
      <c r="I6" s="17">
        <f>G$13*G6</f>
        <v>100</v>
      </c>
    </row>
    <row r="7" spans="1:14" ht="16.8" thickBot="1" x14ac:dyDescent="0.35">
      <c r="A7" s="10" t="s">
        <v>5</v>
      </c>
      <c r="B7" s="12">
        <v>3</v>
      </c>
      <c r="C7" s="12">
        <v>0</v>
      </c>
      <c r="D7" s="12">
        <v>1</v>
      </c>
      <c r="E7" s="12">
        <v>1</v>
      </c>
      <c r="F7" s="12">
        <v>3</v>
      </c>
      <c r="G7" s="12">
        <v>7</v>
      </c>
      <c r="H7" s="13">
        <f>C7*C$9+D7*D$9+E7*E$9+F7*F$9</f>
        <v>350</v>
      </c>
      <c r="I7" s="18">
        <f>G$13*G7</f>
        <v>350</v>
      </c>
    </row>
    <row r="8" spans="1:14" x14ac:dyDescent="0.3">
      <c r="A8" s="3"/>
      <c r="B8" s="2"/>
      <c r="C8" s="2"/>
      <c r="D8" s="2"/>
      <c r="E8" s="2"/>
      <c r="F8" s="2"/>
      <c r="G8" s="2"/>
      <c r="H8" s="2"/>
    </row>
    <row r="9" spans="1:14" x14ac:dyDescent="0.3">
      <c r="B9" s="19" t="s">
        <v>11</v>
      </c>
      <c r="C9" s="23">
        <v>50</v>
      </c>
      <c r="D9" s="23">
        <v>250</v>
      </c>
      <c r="E9" s="23">
        <v>0</v>
      </c>
      <c r="F9" s="23">
        <v>33.333333333333329</v>
      </c>
      <c r="G9" s="21" t="s">
        <v>13</v>
      </c>
      <c r="H9" s="20">
        <f>SUM(C9:F9)</f>
        <v>333.33333333333331</v>
      </c>
    </row>
    <row r="10" spans="1:14" x14ac:dyDescent="0.3">
      <c r="B10" s="19" t="s">
        <v>6</v>
      </c>
      <c r="C10" s="6">
        <f>($G12-($B5*C5+$B6*C6+$B7*C7))*C9</f>
        <v>89.999999999999943</v>
      </c>
      <c r="D10" s="6">
        <f t="shared" ref="D10:F10" si="0">($G12-($B5*D5+$B6*D6+$B7*D7))*D9</f>
        <v>2400</v>
      </c>
      <c r="E10" s="6">
        <f>($G12-($B5*E5+$B6*E6+$B7*E7))*E9</f>
        <v>0</v>
      </c>
      <c r="F10" s="6">
        <f t="shared" si="0"/>
        <v>233.33333333333331</v>
      </c>
      <c r="G10" s="21" t="s">
        <v>12</v>
      </c>
      <c r="H10" s="6">
        <f>SUM(C10:F10)</f>
        <v>2723.3333333333335</v>
      </c>
    </row>
    <row r="11" spans="1:14" x14ac:dyDescent="0.3">
      <c r="B11" s="4"/>
      <c r="C11" s="2"/>
      <c r="D11" s="2"/>
      <c r="E11" s="2"/>
      <c r="F11" s="2"/>
    </row>
    <row r="12" spans="1:14" ht="18.600000000000001" customHeight="1" x14ac:dyDescent="0.4">
      <c r="A12" s="26" t="s">
        <v>10</v>
      </c>
      <c r="B12" s="26"/>
      <c r="C12" s="26"/>
      <c r="D12" s="26"/>
      <c r="E12" s="26"/>
      <c r="F12" s="26"/>
      <c r="G12" s="8">
        <v>16</v>
      </c>
    </row>
    <row r="13" spans="1:14" ht="15.6" customHeight="1" x14ac:dyDescent="0.35">
      <c r="A13" s="26" t="s">
        <v>8</v>
      </c>
      <c r="B13" s="26"/>
      <c r="C13" s="26"/>
      <c r="D13" s="26"/>
      <c r="E13" s="26"/>
      <c r="F13" s="26"/>
      <c r="G13" s="7">
        <v>50</v>
      </c>
    </row>
    <row r="16" spans="1:14" x14ac:dyDescent="0.3">
      <c r="A16" t="s">
        <v>14</v>
      </c>
    </row>
    <row r="17" spans="1:2" x14ac:dyDescent="0.3">
      <c r="A17" t="s">
        <v>15</v>
      </c>
      <c r="B17" t="e">
        <f ca="1">_xludf.MIN($H$10)</f>
        <v>#NAME?</v>
      </c>
    </row>
    <row r="18" spans="1:2" x14ac:dyDescent="0.3">
      <c r="A18" t="s">
        <v>16</v>
      </c>
      <c r="B18">
        <f>COUNT($C$9:$F$9)</f>
        <v>4</v>
      </c>
    </row>
    <row r="19" spans="1:2" x14ac:dyDescent="0.3">
      <c r="A19" t="s">
        <v>17</v>
      </c>
      <c r="B19" t="b">
        <f>$H$5=$I$5</f>
        <v>1</v>
      </c>
    </row>
    <row r="20" spans="1:2" x14ac:dyDescent="0.3">
      <c r="A20" t="s">
        <v>18</v>
      </c>
      <c r="B20" t="b">
        <f>$H$6=$I$6</f>
        <v>1</v>
      </c>
    </row>
    <row r="21" spans="1:2" x14ac:dyDescent="0.3">
      <c r="A21" t="s">
        <v>19</v>
      </c>
      <c r="B21" t="b">
        <f>$H$7=$I$7</f>
        <v>1</v>
      </c>
    </row>
    <row r="22" spans="1:2" x14ac:dyDescent="0.3">
      <c r="A22" t="s">
        <v>20</v>
      </c>
      <c r="B22">
        <f>{32767;32767;0.000001;0.01;TRUE;FALSE;TRUE;1;1;1;0.0001;TRUE}</f>
        <v>32767</v>
      </c>
    </row>
    <row r="23" spans="1:2" x14ac:dyDescent="0.3">
      <c r="B23">
        <f>{0;0;2;100;0;FALSE;TRUE;0.075;0;0;FALSE;30}</f>
        <v>0</v>
      </c>
    </row>
    <row r="106" spans="1:1" x14ac:dyDescent="0.3">
      <c r="A106" t="s">
        <v>14</v>
      </c>
    </row>
    <row r="107" spans="1:1" x14ac:dyDescent="0.3">
      <c r="A107" t="s">
        <v>15</v>
      </c>
    </row>
    <row r="108" spans="1:1" x14ac:dyDescent="0.3">
      <c r="A108" t="s">
        <v>16</v>
      </c>
    </row>
    <row r="109" spans="1:1" x14ac:dyDescent="0.3">
      <c r="A109" t="s">
        <v>17</v>
      </c>
    </row>
    <row r="120" spans="1:1" x14ac:dyDescent="0.3">
      <c r="A120" t="s">
        <v>18</v>
      </c>
    </row>
    <row r="121" spans="1:1" x14ac:dyDescent="0.3">
      <c r="A121" t="s">
        <v>19</v>
      </c>
    </row>
    <row r="122" spans="1:1" x14ac:dyDescent="0.3">
      <c r="A122" t="s">
        <v>20</v>
      </c>
    </row>
  </sheetData>
  <mergeCells count="8">
    <mergeCell ref="A3:A4"/>
    <mergeCell ref="A12:F12"/>
    <mergeCell ref="A13:F13"/>
    <mergeCell ref="H3:H4"/>
    <mergeCell ref="I3:I4"/>
    <mergeCell ref="B3:B4"/>
    <mergeCell ref="C3:F3"/>
    <mergeCell ref="G3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Оптимизация1">
                <anchor moveWithCells="1" sizeWithCells="1">
                  <from>
                    <xdr:col>7</xdr:col>
                    <xdr:colOff>15240</xdr:colOff>
                    <xdr:row>11</xdr:row>
                    <xdr:rowOff>15240</xdr:rowOff>
                  </from>
                  <to>
                    <xdr:col>8</xdr:col>
                    <xdr:colOff>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Решение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2018-10-12T17:13:12Z</dcterms:modified>
</cp:coreProperties>
</file>